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stech-my.sharepoint.com/personal/avighna_daruka_students_ois_school/Documents/paper26/"/>
    </mc:Choice>
  </mc:AlternateContent>
  <xr:revisionPtr revIDLastSave="299" documentId="8_{CEDA2AE8-8086-6345-B77A-9AFBDDE896C2}" xr6:coauthVersionLast="47" xr6:coauthVersionMax="47" xr10:uidLastSave="{227722E6-824A-4789-AC89-A59D28BF898D}"/>
  <bookViews>
    <workbookView xWindow="0" yWindow="680" windowWidth="30240" windowHeight="18960" xr2:uid="{CF8EA8E0-7484-704A-AE44-6FC7979E48B6}"/>
  </bookViews>
  <sheets>
    <sheet name="case des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C13" i="1"/>
  <c r="C14" i="1" s="1"/>
  <c r="C12" i="1"/>
  <c r="C11" i="1"/>
  <c r="C10" i="1"/>
  <c r="F4" i="1"/>
  <c r="H4" i="1" s="1"/>
  <c r="I4" i="1" s="1"/>
  <c r="F5" i="1"/>
  <c r="H5" i="1" s="1"/>
  <c r="F6" i="1"/>
  <c r="H6" i="1" s="1"/>
  <c r="F7" i="1"/>
  <c r="H7" i="1" s="1"/>
  <c r="J7" i="1" s="1"/>
  <c r="F8" i="1"/>
  <c r="G8" i="1" s="1"/>
  <c r="F3" i="1"/>
  <c r="H3" i="1" s="1"/>
  <c r="J3" i="1" s="1"/>
  <c r="H8" i="1" l="1"/>
  <c r="G7" i="1"/>
  <c r="J6" i="1"/>
  <c r="I6" i="1"/>
  <c r="G4" i="1"/>
  <c r="G6" i="1"/>
  <c r="I5" i="1"/>
  <c r="J5" i="1"/>
  <c r="I7" i="1"/>
  <c r="G5" i="1"/>
  <c r="G3" i="1"/>
  <c r="J4" i="1"/>
  <c r="I3" i="1"/>
  <c r="J8" i="1" l="1"/>
  <c r="I8" i="1"/>
</calcChain>
</file>

<file path=xl/sharedStrings.xml><?xml version="1.0" encoding="utf-8"?>
<sst xmlns="http://schemas.openxmlformats.org/spreadsheetml/2006/main" count="13" uniqueCount="13">
  <si>
    <t>Case #</t>
  </si>
  <si>
    <t>Q_dot (kW)</t>
  </si>
  <si>
    <t>ϕ</t>
  </si>
  <si>
    <t>m_dot_fuel</t>
  </si>
  <si>
    <t>LHV (MJ)</t>
  </si>
  <si>
    <t>U_primary</t>
  </si>
  <si>
    <t>Done?</t>
  </si>
  <si>
    <t>m_dot_fuel_each (kg m/s)</t>
  </si>
  <si>
    <t>m_dot_air (kg m/s)</t>
  </si>
  <si>
    <t>m_dot_air_outer_ring (kg m/s)</t>
  </si>
  <si>
    <t>m_dot_air_inner_each (kg m/s)</t>
  </si>
  <si>
    <t>radial locations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</si>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</sst>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6">
    <font>
      <sz val="12"/>
      <color theme="1"/>
      <name val="Aptos Narrow"/>
      <family val="2"/>
      <scheme val="minor"/>
    </font>
    <font>
      <sz val="12"/>
      <color theme="1"/>
      <name val="LatinModernMath-Regular"/>
    </font>
    <font>
      <sz val="10.5"/>
      <color theme="1"/>
      <name val="Helvetica Neue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3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" fillId="3" borderId="1" xfId="0" applyFont="1" applyFill="1" applyBorder="1"/>
    <xf numFmtId="0" fontId="5" fillId="0" borderId="0" xfId="0" applyFont="1"/>
    <xf numFmtId="0" fontId="1" fillId="0" borderId="3" xfId="0" applyFont="1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2" fontId="1" fillId="0" borderId="1" xfId="0" applyNumberFormat="1" applyFont="1" applyBorder="1"/>
    <xf numFmtId="164" fontId="1" fillId="0" borderId="1" xfId="0" applyNumberFormat="1" applyFont="1" applyBorder="1"/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31D9-5E32-E94A-96C1-F3603106EC8A}">
  <dimension ref="A2:X30"/>
  <sheetViews>
    <sheetView tabSelected="1" topLeftCell="F1" zoomScale="181" zoomScaleNormal="181" workbookViewId="0">
      <selection activeCell="J4" sqref="J4"/>
    </sheetView>
  </sheetViews>
  <sheetFormatPr baseColWidth="10" defaultColWidth="11" defaultRowHeight="16"/>
  <cols>
    <col min="2" max="2" width="14.33203125" bestFit="1" customWidth="1"/>
    <col min="4" max="4" width="11.6640625" bestFit="1" customWidth="1"/>
    <col min="6" max="6" width="22.1640625" bestFit="1" customWidth="1"/>
    <col min="7" max="7" width="16.1640625" bestFit="1" customWidth="1"/>
    <col min="9" max="9" width="20.1640625" bestFit="1" customWidth="1"/>
    <col min="10" max="10" width="19.33203125" bestFit="1" customWidth="1"/>
    <col min="12" max="12" width="15.1640625" bestFit="1" customWidth="1"/>
    <col min="13" max="13" width="15.33203125" bestFit="1" customWidth="1"/>
  </cols>
  <sheetData>
    <row r="2" spans="1:24" ht="33">
      <c r="A2" t="s">
        <v>6</v>
      </c>
      <c r="B2" s="5" t="s">
        <v>0</v>
      </c>
      <c r="C2" s="5" t="s">
        <v>4</v>
      </c>
      <c r="D2" s="5" t="s">
        <v>1</v>
      </c>
      <c r="E2" s="5" t="s">
        <v>2</v>
      </c>
      <c r="F2" s="5" t="s">
        <v>3</v>
      </c>
      <c r="G2" s="15" t="s">
        <v>7</v>
      </c>
      <c r="H2" s="16" t="s">
        <v>8</v>
      </c>
      <c r="I2" s="16" t="s">
        <v>9</v>
      </c>
      <c r="J2" s="15" t="s">
        <v>10</v>
      </c>
      <c r="L2" s="1"/>
      <c r="M2" s="1"/>
      <c r="N2" s="1"/>
      <c r="O2" s="11" t="s">
        <v>5</v>
      </c>
    </row>
    <row r="3" spans="1:24">
      <c r="A3" s="12" t="b">
        <v>1</v>
      </c>
      <c r="B3" s="5">
        <v>1</v>
      </c>
      <c r="C3" s="5">
        <v>119.96</v>
      </c>
      <c r="D3" s="5">
        <v>600</v>
      </c>
      <c r="E3" s="13">
        <v>0.7</v>
      </c>
      <c r="F3" s="14">
        <f>(D3*1000)/(C3*1000000)</f>
        <v>5.0016672224074687E-3</v>
      </c>
      <c r="G3" s="9">
        <f>F3/6</f>
        <v>8.3361120373457809E-4</v>
      </c>
      <c r="H3" s="5">
        <f>(F3*34.32)/E3</f>
        <v>0.24522459867574906</v>
      </c>
      <c r="I3" s="5">
        <f>H3*0.75</f>
        <v>0.18391844900681178</v>
      </c>
      <c r="J3" s="9">
        <f>(H3*0.25)/4</f>
        <v>1.5326537417234316E-2</v>
      </c>
      <c r="L3" s="1"/>
      <c r="M3" s="1"/>
    </row>
    <row r="4" spans="1:24">
      <c r="A4" s="12" t="b">
        <v>1</v>
      </c>
      <c r="B4" s="5">
        <v>2</v>
      </c>
      <c r="C4" s="5">
        <v>119.96</v>
      </c>
      <c r="D4" s="5">
        <v>600</v>
      </c>
      <c r="E4" s="13">
        <v>0.85</v>
      </c>
      <c r="F4" s="14">
        <f t="shared" ref="F4:F8" si="0">(D4*1000)/(C4*1000000)</f>
        <v>5.0016672224074687E-3</v>
      </c>
      <c r="G4" s="9">
        <f t="shared" ref="G4:G8" si="1">F4/6</f>
        <v>8.3361120373457809E-4</v>
      </c>
      <c r="H4" s="5">
        <f t="shared" ref="H4:H8" si="2">(F4*34.32)/E4</f>
        <v>0.2019496694976757</v>
      </c>
      <c r="I4" s="5">
        <f t="shared" ref="I4:I8" si="3">H4*0.75</f>
        <v>0.15146225212325679</v>
      </c>
      <c r="J4" s="9">
        <f t="shared" ref="J4:J8" si="4">(H4*0.25)/4</f>
        <v>1.2621854343604732E-2</v>
      </c>
      <c r="L4" s="1"/>
      <c r="M4" s="1"/>
    </row>
    <row r="5" spans="1:24">
      <c r="A5" s="12" t="b">
        <v>0</v>
      </c>
      <c r="B5" s="5">
        <v>3</v>
      </c>
      <c r="C5" s="5">
        <v>119.96</v>
      </c>
      <c r="D5" s="5">
        <v>600</v>
      </c>
      <c r="E5" s="13">
        <v>1</v>
      </c>
      <c r="F5" s="14">
        <f t="shared" si="0"/>
        <v>5.0016672224074687E-3</v>
      </c>
      <c r="G5" s="9">
        <f t="shared" si="1"/>
        <v>8.3361120373457809E-4</v>
      </c>
      <c r="H5" s="5">
        <f t="shared" si="2"/>
        <v>0.17165721907302434</v>
      </c>
      <c r="I5" s="5">
        <f t="shared" si="3"/>
        <v>0.12874291430476825</v>
      </c>
      <c r="J5" s="9">
        <f t="shared" si="4"/>
        <v>1.0728576192064021E-2</v>
      </c>
      <c r="L5" s="1"/>
      <c r="M5" s="1"/>
    </row>
    <row r="6" spans="1:24">
      <c r="A6" s="12" t="b">
        <v>1</v>
      </c>
      <c r="B6" s="5">
        <v>4</v>
      </c>
      <c r="C6" s="5">
        <v>119.96</v>
      </c>
      <c r="D6" s="5">
        <v>600</v>
      </c>
      <c r="E6" s="13">
        <v>1.1499999999999999</v>
      </c>
      <c r="F6" s="14">
        <f t="shared" si="0"/>
        <v>5.0016672224074687E-3</v>
      </c>
      <c r="G6" s="9">
        <f t="shared" si="1"/>
        <v>8.3361120373457809E-4</v>
      </c>
      <c r="H6" s="5">
        <f t="shared" si="2"/>
        <v>0.14926714702002117</v>
      </c>
      <c r="I6" s="5">
        <f t="shared" si="3"/>
        <v>0.11195036026501587</v>
      </c>
      <c r="J6" s="9">
        <f t="shared" si="4"/>
        <v>9.329196688751323E-3</v>
      </c>
      <c r="K6" t="s">
        <v>12</v>
      </c>
      <c r="L6" s="1"/>
      <c r="M6" s="1"/>
    </row>
    <row r="7" spans="1:24">
      <c r="A7" s="12" t="b">
        <v>0</v>
      </c>
      <c r="B7" s="5">
        <v>5</v>
      </c>
      <c r="C7" s="5">
        <v>119.96</v>
      </c>
      <c r="D7" s="5">
        <v>600</v>
      </c>
      <c r="E7" s="13">
        <v>1.3</v>
      </c>
      <c r="F7" s="14">
        <f t="shared" si="0"/>
        <v>5.0016672224074687E-3</v>
      </c>
      <c r="G7" s="9">
        <f t="shared" si="1"/>
        <v>8.3361120373457809E-4</v>
      </c>
      <c r="H7" s="5">
        <f t="shared" si="2"/>
        <v>0.13204401467155719</v>
      </c>
      <c r="I7" s="5">
        <f t="shared" si="3"/>
        <v>9.903301100366789E-2</v>
      </c>
      <c r="J7" s="9">
        <f t="shared" si="4"/>
        <v>8.2527509169723241E-3</v>
      </c>
      <c r="L7" s="1"/>
      <c r="M7" s="1"/>
    </row>
    <row r="8" spans="1:24">
      <c r="A8" s="12" t="b">
        <v>1</v>
      </c>
      <c r="B8" s="5">
        <v>6</v>
      </c>
      <c r="C8" s="5">
        <v>119.96</v>
      </c>
      <c r="D8" s="5">
        <v>600</v>
      </c>
      <c r="E8" s="13">
        <v>1.45</v>
      </c>
      <c r="F8" s="14">
        <f t="shared" si="0"/>
        <v>5.0016672224074687E-3</v>
      </c>
      <c r="G8" s="9">
        <f t="shared" si="1"/>
        <v>8.3361120373457809E-4</v>
      </c>
      <c r="H8" s="5">
        <f t="shared" si="2"/>
        <v>0.11838428901587886</v>
      </c>
      <c r="I8" s="5">
        <f t="shared" si="3"/>
        <v>8.878821676190915E-2</v>
      </c>
      <c r="J8" s="9">
        <f t="shared" si="4"/>
        <v>7.3990180634924286E-3</v>
      </c>
      <c r="L8" s="1"/>
      <c r="M8" s="1"/>
      <c r="O8" s="3"/>
      <c r="P8" s="3"/>
      <c r="Q8" s="3"/>
      <c r="R8" s="3"/>
      <c r="S8" s="3"/>
    </row>
    <row r="9" spans="1:24">
      <c r="B9" s="1"/>
      <c r="C9" s="1"/>
      <c r="D9" s="1"/>
      <c r="E9" s="1"/>
      <c r="F9" s="1"/>
      <c r="G9" s="1"/>
      <c r="H9" s="2"/>
      <c r="I9" s="2"/>
      <c r="J9" s="1"/>
      <c r="M9" s="3"/>
      <c r="N9" s="4"/>
      <c r="O9" s="4"/>
      <c r="P9" s="4"/>
      <c r="Q9" s="4"/>
      <c r="R9" s="4"/>
      <c r="S9" s="4"/>
    </row>
    <row r="10" spans="1:24" ht="17" thickBot="1">
      <c r="A10">
        <v>0.64749999999999996</v>
      </c>
      <c r="B10" s="1" t="s">
        <v>11</v>
      </c>
      <c r="C10" s="1">
        <f>A10-0.025</f>
        <v>0.62249999999999994</v>
      </c>
      <c r="D10" s="1">
        <v>1</v>
      </c>
      <c r="E10" s="1">
        <f>A10-C10</f>
        <v>2.5000000000000022E-2</v>
      </c>
      <c r="F10" s="1"/>
      <c r="G10" s="1"/>
      <c r="H10" s="2"/>
      <c r="I10" s="2"/>
      <c r="J10" s="1"/>
      <c r="M10" s="3"/>
      <c r="N10" s="4"/>
      <c r="O10" s="4"/>
      <c r="P10" s="4"/>
      <c r="Q10" s="4"/>
      <c r="R10" s="4"/>
      <c r="S10" s="4"/>
    </row>
    <row r="11" spans="1:24" ht="21" thickBot="1">
      <c r="B11" s="1"/>
      <c r="C11" s="1">
        <f>C10-0.025</f>
        <v>0.59749999999999992</v>
      </c>
      <c r="D11" s="1">
        <v>2</v>
      </c>
      <c r="E11" s="1">
        <f>A10-C11</f>
        <v>5.0000000000000044E-2</v>
      </c>
      <c r="F11" s="1"/>
      <c r="G11" s="1"/>
      <c r="H11" s="2"/>
      <c r="I11" s="2"/>
      <c r="J11" s="1"/>
      <c r="M11" s="10"/>
      <c r="N11" s="4"/>
      <c r="O11" s="4"/>
      <c r="P11" s="4"/>
      <c r="Q11" s="4"/>
      <c r="R11" s="6"/>
      <c r="S11" s="6"/>
      <c r="T11" s="6"/>
      <c r="U11" s="6"/>
      <c r="V11" s="6"/>
      <c r="W11" s="6"/>
      <c r="X11" s="6"/>
    </row>
    <row r="12" spans="1:24" ht="17" thickBot="1">
      <c r="B12" s="1"/>
      <c r="C12" s="1">
        <f>C11-0.1</f>
        <v>0.49749999999999994</v>
      </c>
      <c r="D12" s="1">
        <v>3</v>
      </c>
      <c r="E12" s="1">
        <f>A10-C12</f>
        <v>0.15000000000000002</v>
      </c>
      <c r="F12" s="1"/>
      <c r="G12" s="1"/>
      <c r="H12" s="2"/>
      <c r="I12" s="1"/>
      <c r="J12" s="1"/>
      <c r="M12" s="3"/>
      <c r="N12" s="4"/>
      <c r="O12" s="4"/>
      <c r="P12" s="4"/>
      <c r="Q12" s="4"/>
      <c r="R12" s="7"/>
      <c r="S12" s="8"/>
      <c r="T12" s="8"/>
      <c r="U12" s="8"/>
      <c r="V12" s="8"/>
      <c r="W12" s="7"/>
      <c r="X12" s="7"/>
    </row>
    <row r="13" spans="1:24" ht="17" thickBot="1">
      <c r="B13" s="1"/>
      <c r="C13" s="1">
        <f t="shared" ref="C13:C14" si="5">C12-0.1</f>
        <v>0.39749999999999996</v>
      </c>
      <c r="D13" s="1">
        <v>4</v>
      </c>
      <c r="E13" s="1">
        <f>A10-C13</f>
        <v>0.25</v>
      </c>
      <c r="F13" s="1"/>
      <c r="G13" s="1"/>
      <c r="H13" s="2"/>
      <c r="I13" s="1"/>
      <c r="J13" s="1"/>
      <c r="M13" s="3"/>
      <c r="N13" s="4"/>
      <c r="O13" s="4"/>
      <c r="P13" s="4"/>
      <c r="Q13" s="4"/>
      <c r="R13" s="7"/>
      <c r="S13" s="8"/>
      <c r="T13" s="8"/>
      <c r="U13" s="8"/>
      <c r="V13" s="8"/>
      <c r="W13" s="7"/>
      <c r="X13" s="7"/>
    </row>
    <row r="14" spans="1:24" ht="17" thickBot="1">
      <c r="B14" s="1"/>
      <c r="C14" s="1">
        <f t="shared" si="5"/>
        <v>0.29749999999999999</v>
      </c>
      <c r="D14" s="1">
        <v>5</v>
      </c>
      <c r="E14" s="1">
        <f>A10-C14</f>
        <v>0.35</v>
      </c>
      <c r="F14" s="1"/>
      <c r="G14" s="1"/>
      <c r="H14" s="2"/>
      <c r="I14" s="1"/>
      <c r="J14" s="1"/>
      <c r="M14" s="3"/>
      <c r="N14" s="4"/>
      <c r="O14" s="4"/>
      <c r="P14" s="4"/>
      <c r="Q14" s="4"/>
      <c r="R14" s="7"/>
      <c r="S14" s="8"/>
      <c r="T14" s="8"/>
      <c r="U14" s="8"/>
      <c r="V14" s="8"/>
      <c r="W14" s="7"/>
      <c r="X14" s="7"/>
    </row>
    <row r="15" spans="1:24" ht="17" thickBot="1">
      <c r="B15" s="1"/>
      <c r="C15" s="1"/>
      <c r="D15" s="1"/>
      <c r="E15" s="1"/>
      <c r="F15" s="1"/>
      <c r="G15" s="1"/>
      <c r="H15" s="2"/>
      <c r="I15" s="1"/>
      <c r="J15" s="1"/>
      <c r="R15" s="7"/>
      <c r="S15" s="8"/>
      <c r="T15" s="8"/>
      <c r="U15" s="8"/>
      <c r="V15" s="8"/>
      <c r="W15" s="7"/>
      <c r="X15" s="7"/>
    </row>
    <row r="16" spans="1:24" ht="17" thickBot="1">
      <c r="B16" s="1">
        <v>1</v>
      </c>
      <c r="C16" s="1"/>
      <c r="D16" s="1"/>
      <c r="E16" s="1"/>
      <c r="F16" s="1"/>
      <c r="G16" s="1"/>
      <c r="H16" s="2"/>
      <c r="I16" s="1"/>
      <c r="J16" s="1"/>
      <c r="R16" s="7"/>
      <c r="S16" s="8"/>
      <c r="T16" s="8"/>
      <c r="U16" s="8"/>
      <c r="V16" s="8"/>
      <c r="W16" s="7"/>
      <c r="X16" s="7"/>
    </row>
    <row r="17" spans="2:24" ht="17" thickBot="1">
      <c r="B17" s="1">
        <v>4</v>
      </c>
      <c r="C17" s="1"/>
      <c r="D17" s="1"/>
      <c r="E17" s="1"/>
      <c r="F17" s="1"/>
      <c r="G17" s="1"/>
      <c r="H17" s="2"/>
      <c r="I17" s="1"/>
      <c r="J17" s="1"/>
      <c r="R17" s="7"/>
      <c r="S17" s="8"/>
      <c r="T17" s="8"/>
      <c r="U17" s="8"/>
      <c r="V17" s="8"/>
      <c r="W17" s="7"/>
      <c r="X17" s="7"/>
    </row>
    <row r="18" spans="2:24" ht="17" thickBot="1">
      <c r="B18" s="1">
        <v>6</v>
      </c>
      <c r="C18" s="1"/>
      <c r="D18" s="1"/>
      <c r="E18" s="1"/>
      <c r="F18" s="1"/>
      <c r="G18" s="1"/>
      <c r="H18" s="1"/>
      <c r="I18" s="1"/>
      <c r="J18" s="1"/>
      <c r="R18" s="7"/>
      <c r="S18" s="8"/>
      <c r="T18" s="8"/>
      <c r="U18" s="8"/>
      <c r="V18" s="8"/>
      <c r="W18" s="7"/>
      <c r="X18" s="7"/>
    </row>
    <row r="19" spans="2:24" ht="17" thickBot="1">
      <c r="B19" s="1">
        <v>2</v>
      </c>
      <c r="C19" s="1"/>
      <c r="D19" s="1"/>
      <c r="E19" s="1"/>
      <c r="F19" s="1"/>
      <c r="G19" s="1"/>
      <c r="H19" s="1"/>
      <c r="I19" s="1"/>
      <c r="J19" s="1"/>
      <c r="R19" s="7"/>
      <c r="S19" s="8"/>
      <c r="T19" s="8"/>
      <c r="U19" s="8"/>
      <c r="V19" s="8"/>
      <c r="W19" s="7"/>
      <c r="X19" s="7"/>
    </row>
    <row r="20" spans="2:24" ht="17" thickBot="1">
      <c r="B20" s="1"/>
      <c r="C20" s="1"/>
      <c r="D20" s="1"/>
      <c r="E20" s="1"/>
      <c r="F20" s="1"/>
      <c r="G20" s="1"/>
      <c r="H20" s="1"/>
      <c r="I20" s="1"/>
      <c r="J20" s="1"/>
      <c r="R20" s="7"/>
      <c r="S20" s="8"/>
      <c r="T20" s="8"/>
      <c r="U20" s="8"/>
      <c r="V20" s="8"/>
      <c r="W20" s="7"/>
      <c r="X20" s="7"/>
    </row>
    <row r="21" spans="2:24" ht="17" thickBot="1">
      <c r="B21" s="1"/>
      <c r="C21" s="1"/>
      <c r="D21" s="1"/>
      <c r="E21" s="1"/>
      <c r="F21" s="1"/>
      <c r="G21" s="1"/>
      <c r="H21" s="1"/>
      <c r="I21" s="6"/>
      <c r="J21" s="6"/>
      <c r="K21" s="6"/>
      <c r="L21" s="6"/>
      <c r="M21" s="6"/>
    </row>
    <row r="22" spans="2:24" ht="17" thickBot="1">
      <c r="I22" s="7"/>
      <c r="J22" s="8"/>
      <c r="K22" s="8"/>
      <c r="L22" s="7"/>
      <c r="M22" s="7"/>
    </row>
    <row r="23" spans="2:24" ht="17" thickBot="1">
      <c r="I23" s="7"/>
      <c r="J23" s="8"/>
      <c r="K23" s="8"/>
      <c r="L23" s="7"/>
      <c r="M23" s="7"/>
    </row>
    <row r="24" spans="2:24" ht="17" thickBot="1">
      <c r="I24" s="7"/>
      <c r="J24" s="8"/>
      <c r="K24" s="8"/>
      <c r="L24" s="7"/>
      <c r="M24" s="7"/>
    </row>
    <row r="25" spans="2:24" ht="17" thickBot="1">
      <c r="I25" s="7"/>
      <c r="J25" s="8"/>
      <c r="K25" s="8"/>
      <c r="L25" s="7"/>
      <c r="M25" s="7"/>
    </row>
    <row r="26" spans="2:24" ht="17" thickBot="1">
      <c r="I26" s="7"/>
      <c r="J26" s="8"/>
      <c r="K26" s="8"/>
      <c r="L26" s="7"/>
      <c r="M26" s="7"/>
    </row>
    <row r="27" spans="2:24" ht="17" thickBot="1">
      <c r="I27" s="7"/>
      <c r="J27" s="8"/>
      <c r="K27" s="8"/>
      <c r="L27" s="7"/>
      <c r="M27" s="7"/>
    </row>
    <row r="28" spans="2:24" ht="17" thickBot="1">
      <c r="I28" s="7"/>
      <c r="J28" s="8"/>
      <c r="K28" s="8"/>
      <c r="L28" s="7"/>
      <c r="M28" s="7"/>
    </row>
    <row r="29" spans="2:24" ht="17" thickBot="1">
      <c r="I29" s="7"/>
      <c r="J29" s="8"/>
      <c r="K29" s="8"/>
      <c r="L29" s="7"/>
      <c r="M29" s="7"/>
    </row>
    <row r="30" spans="2:24" ht="17" thickBot="1">
      <c r="I30" s="7"/>
      <c r="J30" s="8"/>
      <c r="K30" s="8"/>
      <c r="L30" s="7"/>
      <c r="M30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Avighna Daruka</dc:creator>
  <cp:lastModifiedBy>Avighna Daruka</cp:lastModifiedBy>
  <dcterms:created xsi:type="dcterms:W3CDTF">2026-01-06T12:23:29Z</dcterms:created>
  <dcterms:modified xsi:type="dcterms:W3CDTF">2026-01-12T19:28:01Z</dcterms:modified>
</cp:coreProperties>
</file>